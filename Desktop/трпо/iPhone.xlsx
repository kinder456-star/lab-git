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403ADFC7-F2B4-47A1-A838-49321E02CE5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Лист2" sheetId="2" r:id="rId1"/>
    <sheet name="Лист1" sheetId="1" r:id="rId2"/>
  </sheet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2" i="1" l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5" i="1"/>
</calcChain>
</file>

<file path=xl/sharedStrings.xml><?xml version="1.0" encoding="utf-8"?>
<sst xmlns="http://schemas.openxmlformats.org/spreadsheetml/2006/main" count="61" uniqueCount="46">
  <si>
    <t>Модель iPhone</t>
  </si>
  <si>
    <t>Память</t>
  </si>
  <si>
    <t>Цвет</t>
  </si>
  <si>
    <t>Состояние акб</t>
  </si>
  <si>
    <t>Дата покупки</t>
  </si>
  <si>
    <t>Цена покупки</t>
  </si>
  <si>
    <t>Вложения в телефон</t>
  </si>
  <si>
    <t>Вложения в Авито</t>
  </si>
  <si>
    <t>Цена продажи</t>
  </si>
  <si>
    <t>Дата продажи</t>
  </si>
  <si>
    <t>Владелец</t>
  </si>
  <si>
    <t>№</t>
  </si>
  <si>
    <t>iPhone 7</t>
  </si>
  <si>
    <t>Чёрный</t>
  </si>
  <si>
    <t>Стёпа</t>
  </si>
  <si>
    <t>Прибыль с телефона</t>
  </si>
  <si>
    <t>iPhone 8</t>
  </si>
  <si>
    <t>64 gb</t>
  </si>
  <si>
    <t>iPhone X</t>
  </si>
  <si>
    <t>iPhone XS</t>
  </si>
  <si>
    <t>iPhone 6</t>
  </si>
  <si>
    <t>iPhone SE 2020</t>
  </si>
  <si>
    <t>Белый</t>
  </si>
  <si>
    <t>iPhone XR</t>
  </si>
  <si>
    <t>iPhone 11</t>
  </si>
  <si>
    <t>Дата публикации на Avito</t>
  </si>
  <si>
    <t>Всего прибыли с продаж</t>
  </si>
  <si>
    <t>Время продажи дней</t>
  </si>
  <si>
    <t>iPhone 12</t>
  </si>
  <si>
    <t xml:space="preserve">Всего купили телефонов на сумму </t>
  </si>
  <si>
    <t>Всего продали телефонов на сумму</t>
  </si>
  <si>
    <t>Прибыль каждого</t>
  </si>
  <si>
    <t>Количество по полю Модель iPhone</t>
  </si>
  <si>
    <t>iPhone 13 Pro Max</t>
  </si>
  <si>
    <t>256gb</t>
  </si>
  <si>
    <t>iPhone 12 Pro</t>
  </si>
  <si>
    <t>iPhone 11 Pro</t>
  </si>
  <si>
    <t>iPhone 13 Pro</t>
  </si>
  <si>
    <t>iPhone 6S</t>
  </si>
  <si>
    <t>Степа</t>
  </si>
  <si>
    <t>Всего продали телефонов</t>
  </si>
  <si>
    <t>iPhone 14 Pro Max</t>
  </si>
  <si>
    <t xml:space="preserve">iPhone 12 </t>
  </si>
  <si>
    <t>128 gb</t>
  </si>
  <si>
    <t>iPhone 13</t>
  </si>
  <si>
    <t>Фиолетовый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</si>
</sst>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9" fontId="0" fillId="0" borderId="0" xfId="0" applyNumberFormat="1"/>
    <xf numFmtId="44" fontId="0" fillId="0" borderId="0" xfId="0" applyNumberFormat="1"/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4" fontId="1" fillId="0" borderId="0" xfId="0" applyNumberFormat="1" applyFont="1" applyAlignment="1">
      <alignment horizontal="center"/>
    </xf>
    <xf numFmtId="44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2" borderId="1" xfId="0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[iPhone.xlsx]Лист2!Сводная таблица5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Статистика продаж моделей  </a:t>
            </a:r>
            <a:r>
              <a:rPr lang="en-US"/>
              <a:t>iPhone</a:t>
            </a:r>
          </a:p>
        </c:rich>
      </c:tx>
      <c:layout>
        <c:manualLayout>
          <c:xMode val="edge"/>
          <c:yMode val="edge"/>
          <c:x val="0.2282205471647005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Лист2!$B$3</c:f>
              <c:strCache>
                <c:ptCount val="1"/>
                <c:pt idx="0">
                  <c:v>Итог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Лист2!$A$4:$A$12</c:f>
              <c:strCache>
                <c:ptCount val="9"/>
                <c:pt idx="0">
                  <c:v>iPhone 11</c:v>
                </c:pt>
                <c:pt idx="1">
                  <c:v>iPhone 12</c:v>
                </c:pt>
                <c:pt idx="2">
                  <c:v>iPhone 6</c:v>
                </c:pt>
                <c:pt idx="3">
                  <c:v>iPhone 7</c:v>
                </c:pt>
                <c:pt idx="4">
                  <c:v>iPhone 8</c:v>
                </c:pt>
                <c:pt idx="5">
                  <c:v>iPhone SE 2020</c:v>
                </c:pt>
                <c:pt idx="6">
                  <c:v>iPhone X</c:v>
                </c:pt>
                <c:pt idx="7">
                  <c:v>iPhone XR</c:v>
                </c:pt>
                <c:pt idx="8">
                  <c:v>iPhone XS</c:v>
                </c:pt>
              </c:strCache>
            </c:strRef>
          </c:cat>
          <c:val>
            <c:numRef>
              <c:f>Лист2!$B$4:$B$12</c:f>
              <c:numCache>
                <c:formatCode>General</c:formatCode>
                <c:ptCount val="9"/>
                <c:pt idx="0">
                  <c:v>8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C-4EA6-8488-2E5C9D94C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32459728"/>
        <c:axId val="632463008"/>
      </c:barChart>
      <c:catAx>
        <c:axId val="63245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2463008"/>
        <c:crosses val="autoZero"/>
        <c:auto val="1"/>
        <c:lblAlgn val="ctr"/>
        <c:lblOffset val="100"/>
        <c:noMultiLvlLbl val="0"/>
      </c:catAx>
      <c:valAx>
        <c:axId val="63246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245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>
        <a:lumMod val="50000"/>
      </a:schemeClr>
    </a:soli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Статистика</a:t>
            </a:r>
            <a:r>
              <a:rPr lang="ru-RU" baseline="0"/>
              <a:t> проданных</a:t>
            </a:r>
            <a:r>
              <a:rPr lang="en-US" baseline="0"/>
              <a:t> iPhone</a:t>
            </a:r>
            <a:r>
              <a:rPr lang="ru-RU" baseline="0"/>
              <a:t> </a:t>
            </a:r>
            <a:endParaRPr lang="ru-RU"/>
          </a:p>
        </c:rich>
      </c:tx>
      <c:layout>
        <c:manualLayout>
          <c:xMode val="edge"/>
          <c:yMode val="edge"/>
          <c:x val="0.309458223972003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Лист1!$W$1:$AJ$1</c:f>
              <c:strCache>
                <c:ptCount val="14"/>
                <c:pt idx="0">
                  <c:v>iPhone 6</c:v>
                </c:pt>
                <c:pt idx="1">
                  <c:v>iPhone 6S</c:v>
                </c:pt>
                <c:pt idx="2">
                  <c:v>iPhone 7</c:v>
                </c:pt>
                <c:pt idx="3">
                  <c:v>iPhone 8</c:v>
                </c:pt>
                <c:pt idx="4">
                  <c:v>iPhone X</c:v>
                </c:pt>
                <c:pt idx="5">
                  <c:v>iPhone XS</c:v>
                </c:pt>
                <c:pt idx="6">
                  <c:v>iPhone XR</c:v>
                </c:pt>
                <c:pt idx="7">
                  <c:v>iPhone 11</c:v>
                </c:pt>
                <c:pt idx="8">
                  <c:v>iPhone 11 Pro</c:v>
                </c:pt>
                <c:pt idx="9">
                  <c:v>iPhone SE 2020</c:v>
                </c:pt>
                <c:pt idx="10">
                  <c:v>iPhone 12</c:v>
                </c:pt>
                <c:pt idx="11">
                  <c:v>iPhone 12 Pro</c:v>
                </c:pt>
                <c:pt idx="12">
                  <c:v>iPhone 13 Pro</c:v>
                </c:pt>
                <c:pt idx="13">
                  <c:v>iPhone 13 Pro Max</c:v>
                </c:pt>
              </c:strCache>
            </c:strRef>
          </c:cat>
          <c:val>
            <c:numRef>
              <c:f>Лист1!$W$2:$AJ$2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6-462D-9B9E-157D5C604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4326784"/>
        <c:axId val="684325472"/>
      </c:barChart>
      <c:catAx>
        <c:axId val="68432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4325472"/>
        <c:crosses val="autoZero"/>
        <c:auto val="1"/>
        <c:lblAlgn val="ctr"/>
        <c:lblOffset val="100"/>
        <c:noMultiLvlLbl val="0"/>
      </c:catAx>
      <c:valAx>
        <c:axId val="68432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432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22</xdr:row>
      <xdr:rowOff>0</xdr:rowOff>
    </xdr:from>
    <xdr:to>
      <xdr:col>16</xdr:col>
      <xdr:colOff>266700</xdr:colOff>
      <xdr:row>36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38100</xdr:colOff>
      <xdr:row>4</xdr:row>
      <xdr:rowOff>80961</xdr:rowOff>
    </xdr:from>
    <xdr:to>
      <xdr:col>31</xdr:col>
      <xdr:colOff>333375</xdr:colOff>
      <xdr:row>16</xdr:row>
      <xdr:rowOff>139521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iPhone%20(version%201)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втор" refreshedDate="45310.824023032408" createdVersion="6" refreshedVersion="6" minRefreshableVersion="3" recordCount="24" xr:uid="{00000000-000A-0000-FFFF-FFFF00000000}">
  <cacheSource type="worksheet">
    <worksheetSource ref="A1:P25" sheet="Лист1" r:id="rId2"/>
  </cacheSource>
  <cacheFields count="16">
    <cacheField name="№" numFmtId="0">
      <sharedItems containsSemiMixedTypes="0" containsString="0" containsNumber="1" containsInteger="1" minValue="1" maxValue="24"/>
    </cacheField>
    <cacheField name="Модель iPhone" numFmtId="0">
      <sharedItems count="9">
        <s v="iPhone 7"/>
        <s v="iPhone 8"/>
        <s v="iPhone X"/>
        <s v="iPhone XS"/>
        <s v="iPhone 6"/>
        <s v="iPhone SE 2020"/>
        <s v="iPhone XR"/>
        <s v="iPhone 11"/>
        <s v="iPhone 12"/>
      </sharedItems>
    </cacheField>
    <cacheField name="Память" numFmtId="0">
      <sharedItems count="4">
        <s v="32 gb"/>
        <s v="64 gb"/>
        <s v="128gb"/>
        <s v="64gb"/>
      </sharedItems>
    </cacheField>
    <cacheField name="Цвет" numFmtId="0">
      <sharedItems count="7">
        <s v="Чёрный"/>
        <s v="Красный"/>
        <s v="Серый"/>
        <s v="Белый"/>
        <s v="Золотой"/>
        <s v="Зелёный"/>
        <s v="Розовый"/>
      </sharedItems>
    </cacheField>
    <cacheField name="Состояние акб" numFmtId="9">
      <sharedItems containsSemiMixedTypes="0" containsString="0" containsNumber="1" minValue="0.78" maxValue="1"/>
    </cacheField>
    <cacheField name="Владелец" numFmtId="0">
      <sharedItems/>
    </cacheField>
    <cacheField name="Цена покупки" numFmtId="44">
      <sharedItems containsSemiMixedTypes="0" containsString="0" containsNumber="1" containsInteger="1" minValue="0" maxValue="29650"/>
    </cacheField>
    <cacheField name="Дата покупки" numFmtId="164">
      <sharedItems containsDate="1" containsMixedTypes="1" minDate="2023-05-31T00:00:00" maxDate="2024-01-15T00:00:00"/>
    </cacheField>
    <cacheField name="Вложения в телефон" numFmtId="44">
      <sharedItems containsString="0" containsBlank="1" containsNumber="1" containsInteger="1" minValue="0" maxValue="750" count="12">
        <n v="141"/>
        <n v="0"/>
        <n v="146"/>
        <n v="292"/>
        <n v="148"/>
        <n v="245"/>
        <n v="142"/>
        <n v="222"/>
        <n v="701"/>
        <m/>
        <n v="750"/>
        <n v="321"/>
      </sharedItems>
    </cacheField>
    <cacheField name="Вложения в Авито" numFmtId="44">
      <sharedItems containsString="0" containsBlank="1" containsNumber="1" minValue="0" maxValue="441"/>
    </cacheField>
    <cacheField name="Цена продажи" numFmtId="44">
      <sharedItems containsString="0" containsBlank="1" containsNumber="1" containsInteger="1" minValue="4300" maxValue="34500" count="19">
        <n v="4600"/>
        <n v="8500"/>
        <n v="15000"/>
        <n v="17000"/>
        <n v="4300"/>
        <n v="15200"/>
        <n v="15500"/>
        <n v="17800"/>
        <n v="27000"/>
        <n v="16000"/>
        <n v="29500"/>
        <n v="20000"/>
        <n v="25000"/>
        <n v="26000"/>
        <n v="34500"/>
        <n v="29000"/>
        <m/>
        <n v="11990"/>
        <n v="11000"/>
      </sharedItems>
    </cacheField>
    <cacheField name="Дата публикации на Avito" numFmtId="164">
      <sharedItems containsNonDate="0" containsDate="1" containsString="0" containsBlank="1" minDate="2023-05-29T00:00:00" maxDate="2024-01-14T00:00:00"/>
    </cacheField>
    <cacheField name="Дата продажи" numFmtId="164">
      <sharedItems containsNonDate="0" containsDate="1" containsString="0" containsBlank="1" minDate="2023-05-30T00:00:00" maxDate="2024-01-15T00:00:00"/>
    </cacheField>
    <cacheField name="Время продажи дней" numFmtId="0">
      <sharedItems containsString="0" containsBlank="1" containsNumber="1" containsInteger="1" minValue="1" maxValue="17"/>
    </cacheField>
    <cacheField name="Прибыль с телефона" numFmtId="44">
      <sharedItems containsString="0" containsBlank="1" containsNumber="1" minValue="0" maxValue="4519"/>
    </cacheField>
    <cacheField name="Прибыль каждого" numFmtId="44">
      <sharedItems containsString="0" containsBlank="1" containsNumber="1" minValue="0" maxValue="45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n v="1"/>
    <x v="0"/>
    <x v="0"/>
    <x v="0"/>
    <n v="1"/>
    <s v="Стёпа"/>
    <n v="0"/>
    <s v="NO"/>
    <x v="0"/>
    <n v="0"/>
    <x v="0"/>
    <d v="2023-05-29T00:00:00"/>
    <d v="2023-05-30T00:00:00"/>
    <n v="1"/>
    <n v="4459"/>
    <n v="4459"/>
  </r>
  <r>
    <n v="2"/>
    <x v="1"/>
    <x v="1"/>
    <x v="1"/>
    <n v="0.78"/>
    <s v="Стёпа"/>
    <n v="6500"/>
    <d v="2023-05-31T00:00:00"/>
    <x v="0"/>
    <n v="0"/>
    <x v="1"/>
    <d v="2023-06-02T00:00:00"/>
    <d v="2023-06-05T00:00:00"/>
    <n v="3"/>
    <n v="1859"/>
    <n v="1859"/>
  </r>
  <r>
    <n v="3"/>
    <x v="2"/>
    <x v="1"/>
    <x v="0"/>
    <n v="0.94"/>
    <s v="Стёпа"/>
    <n v="12700"/>
    <d v="2023-06-06T00:00:00"/>
    <x v="1"/>
    <n v="0"/>
    <x v="2"/>
    <d v="2023-06-07T00:00:00"/>
    <d v="2023-06-09T00:00:00"/>
    <n v="2"/>
    <n v="2300"/>
    <n v="2300"/>
  </r>
  <r>
    <n v="4"/>
    <x v="3"/>
    <x v="1"/>
    <x v="0"/>
    <n v="0.84"/>
    <s v="Стёпа"/>
    <n v="14000"/>
    <d v="2023-06-10T00:00:00"/>
    <x v="1"/>
    <n v="0"/>
    <x v="3"/>
    <d v="2023-06-10T00:00:00"/>
    <d v="2023-06-13T00:00:00"/>
    <n v="3"/>
    <n v="3000"/>
    <n v="3000"/>
  </r>
  <r>
    <n v="5"/>
    <x v="4"/>
    <x v="0"/>
    <x v="2"/>
    <n v="1"/>
    <s v="Стёпа"/>
    <n v="0"/>
    <s v="NO"/>
    <x v="1"/>
    <n v="0"/>
    <x v="4"/>
    <d v="2023-06-16T00:00:00"/>
    <d v="2023-06-17T00:00:00"/>
    <n v="1"/>
    <n v="4300"/>
    <n v="4300"/>
  </r>
  <r>
    <n v="6"/>
    <x v="5"/>
    <x v="1"/>
    <x v="1"/>
    <n v="0.79"/>
    <s v="Стёпа"/>
    <n v="13000"/>
    <d v="2023-06-21T00:00:00"/>
    <x v="1"/>
    <n v="0"/>
    <x v="5"/>
    <d v="2023-06-26T00:00:00"/>
    <d v="2023-07-01T00:00:00"/>
    <n v="5"/>
    <n v="2200"/>
    <n v="2200"/>
  </r>
  <r>
    <n v="7"/>
    <x v="2"/>
    <x v="1"/>
    <x v="3"/>
    <n v="1"/>
    <s v="Радик"/>
    <n v="14000"/>
    <d v="2023-06-22T00:00:00"/>
    <x v="2"/>
    <n v="0"/>
    <x v="6"/>
    <d v="2023-06-26T00:00:00"/>
    <d v="2023-06-28T00:00:00"/>
    <n v="2"/>
    <n v="1354"/>
    <n v="1354"/>
  </r>
  <r>
    <n v="8"/>
    <x v="3"/>
    <x v="1"/>
    <x v="0"/>
    <n v="0.89"/>
    <s v="Стёпа"/>
    <n v="15500"/>
    <d v="2023-06-29T00:00:00"/>
    <x v="1"/>
    <n v="0"/>
    <x v="6"/>
    <d v="2023-06-29T00:00:00"/>
    <d v="2023-06-29T00:00:00"/>
    <n v="1"/>
    <n v="0"/>
    <n v="0"/>
  </r>
  <r>
    <n v="9"/>
    <x v="2"/>
    <x v="1"/>
    <x v="0"/>
    <n v="0.89"/>
    <s v="Радик"/>
    <n v="14500"/>
    <d v="2023-06-30T00:00:00"/>
    <x v="3"/>
    <n v="0"/>
    <x v="2"/>
    <d v="2023-06-30T00:00:00"/>
    <d v="2023-07-02T00:00:00"/>
    <n v="2"/>
    <n v="208"/>
    <n v="208"/>
  </r>
  <r>
    <n v="10"/>
    <x v="6"/>
    <x v="1"/>
    <x v="0"/>
    <n v="0.99"/>
    <s v="Стёпа"/>
    <n v="15000"/>
    <d v="2023-07-30T00:00:00"/>
    <x v="1"/>
    <n v="85"/>
    <x v="6"/>
    <d v="2023-06-30T00:00:00"/>
    <d v="2023-07-07T00:00:00"/>
    <n v="7"/>
    <n v="415"/>
    <n v="415"/>
  </r>
  <r>
    <n v="11"/>
    <x v="3"/>
    <x v="1"/>
    <x v="4"/>
    <n v="0.84"/>
    <s v="Радик"/>
    <n v="15500"/>
    <d v="2023-07-03T00:00:00"/>
    <x v="4"/>
    <n v="441"/>
    <x v="7"/>
    <d v="2023-07-08T00:00:00"/>
    <d v="2023-07-08T00:00:00"/>
    <n v="1"/>
    <n v="1711"/>
    <n v="1711"/>
  </r>
  <r>
    <n v="12"/>
    <x v="7"/>
    <x v="2"/>
    <x v="3"/>
    <n v="0.88"/>
    <s v="Стёпа"/>
    <n v="24000"/>
    <d v="2023-07-11T00:00:00"/>
    <x v="1"/>
    <n v="85"/>
    <x v="8"/>
    <d v="2023-07-12T00:00:00"/>
    <d v="2023-07-29T00:00:00"/>
    <n v="17"/>
    <n v="2915"/>
    <n v="2915"/>
  </r>
  <r>
    <n v="13"/>
    <x v="5"/>
    <x v="3"/>
    <x v="0"/>
    <n v="0.8"/>
    <s v="Радик"/>
    <n v="15000"/>
    <d v="2023-09-16T00:00:00"/>
    <x v="1"/>
    <n v="0"/>
    <x v="9"/>
    <d v="2023-09-18T00:00:00"/>
    <d v="2023-09-30T00:00:00"/>
    <n v="12"/>
    <n v="1000"/>
    <n v="1000"/>
  </r>
  <r>
    <n v="14"/>
    <x v="7"/>
    <x v="3"/>
    <x v="3"/>
    <n v="0.96"/>
    <s v="Радик"/>
    <n v="27500"/>
    <d v="2023-10-27T00:00:00"/>
    <x v="5"/>
    <n v="0"/>
    <x v="10"/>
    <d v="2023-10-28T00:00:00"/>
    <d v="2023-11-06T00:00:00"/>
    <n v="9"/>
    <n v="1755"/>
    <n v="1755"/>
  </r>
  <r>
    <n v="15"/>
    <x v="6"/>
    <x v="3"/>
    <x v="3"/>
    <n v="1"/>
    <s v="50/50"/>
    <n v="16000"/>
    <d v="2023-11-20T00:00:00"/>
    <x v="6"/>
    <n v="219"/>
    <x v="11"/>
    <d v="2023-11-24T00:00:00"/>
    <d v="2023-11-24T00:00:00"/>
    <n v="1"/>
    <n v="3639"/>
    <n v="1819.5"/>
  </r>
  <r>
    <n v="16"/>
    <x v="7"/>
    <x v="2"/>
    <x v="0"/>
    <n v="0.91"/>
    <s v="50/50"/>
    <n v="22500"/>
    <d v="2023-11-25T00:00:00"/>
    <x v="7"/>
    <n v="219"/>
    <x v="12"/>
    <d v="2023-11-27T00:00:00"/>
    <d v="2023-11-30T00:00:00"/>
    <n v="3"/>
    <n v="2059"/>
    <n v="1029.5"/>
  </r>
  <r>
    <n v="17"/>
    <x v="7"/>
    <x v="3"/>
    <x v="0"/>
    <n v="0.88"/>
    <s v="50/50"/>
    <n v="24500"/>
    <d v="2023-11-30T00:00:00"/>
    <x v="1"/>
    <n v="110"/>
    <x v="13"/>
    <d v="2023-12-05T00:00:00"/>
    <d v="2023-12-08T00:00:00"/>
    <n v="3"/>
    <n v="1390"/>
    <n v="695"/>
  </r>
  <r>
    <n v="18"/>
    <x v="8"/>
    <x v="2"/>
    <x v="0"/>
    <n v="0.86"/>
    <s v="50/50"/>
    <n v="29650"/>
    <d v="2023-12-09T00:00:00"/>
    <x v="8"/>
    <n v="109"/>
    <x v="14"/>
    <d v="2023-12-14T00:00:00"/>
    <d v="2023-12-18T00:00:00"/>
    <n v="4"/>
    <n v="4040"/>
    <n v="2020"/>
  </r>
  <r>
    <n v="19"/>
    <x v="7"/>
    <x v="2"/>
    <x v="3"/>
    <n v="0.88"/>
    <s v="Радик"/>
    <n v="24000"/>
    <d v="2023-12-27T00:00:00"/>
    <x v="7"/>
    <n v="259"/>
    <x v="15"/>
    <d v="2023-12-31T00:00:00"/>
    <d v="2024-01-03T00:00:00"/>
    <n v="3"/>
    <n v="4519"/>
    <n v="4519"/>
  </r>
  <r>
    <n v="20"/>
    <x v="7"/>
    <x v="2"/>
    <x v="0"/>
    <n v="0.86"/>
    <s v="50/50"/>
    <n v="24000"/>
    <d v="2024-01-06T00:00:00"/>
    <x v="9"/>
    <n v="79.599999999999994"/>
    <x v="16"/>
    <d v="2024-01-13T00:00:00"/>
    <m/>
    <m/>
    <m/>
    <m/>
  </r>
  <r>
    <n v="21"/>
    <x v="7"/>
    <x v="2"/>
    <x v="5"/>
    <n v="0.81"/>
    <s v="50/50"/>
    <n v="20000"/>
    <d v="2024-01-06T00:00:00"/>
    <x v="10"/>
    <n v="189.6"/>
    <x v="16"/>
    <d v="2024-01-13T00:00:00"/>
    <m/>
    <m/>
    <m/>
    <m/>
  </r>
  <r>
    <n v="22"/>
    <x v="6"/>
    <x v="3"/>
    <x v="1"/>
    <n v="0.78"/>
    <s v="Назар"/>
    <n v="8500"/>
    <d v="2024-01-06T00:00:00"/>
    <x v="1"/>
    <n v="79.599999999999994"/>
    <x v="17"/>
    <d v="2024-01-13T00:00:00"/>
    <d v="2024-01-14T00:00:00"/>
    <n v="1"/>
    <n v="3410.3999999999996"/>
    <n v="955.2"/>
  </r>
  <r>
    <n v="23"/>
    <x v="1"/>
    <x v="3"/>
    <x v="4"/>
    <n v="0.88"/>
    <s v="Радик"/>
    <n v="8000"/>
    <d v="2024-01-09T00:00:00"/>
    <x v="11"/>
    <n v="0"/>
    <x v="18"/>
    <d v="2024-01-10T00:00:00"/>
    <d v="2024-01-13T00:00:00"/>
    <n v="3"/>
    <n v="2679"/>
    <n v="2679"/>
  </r>
  <r>
    <n v="24"/>
    <x v="7"/>
    <x v="3"/>
    <x v="6"/>
    <n v="0.86"/>
    <s v="Назар"/>
    <n v="13000"/>
    <d v="2024-01-14T00:00:00"/>
    <x v="9"/>
    <m/>
    <x v="1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5" cacheId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1">
  <location ref="A3:B12" firstHeaderRow="1" firstDataRow="1" firstDataCol="1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9">
        <item x="7"/>
        <item x="8"/>
        <item x="4"/>
        <item x="0"/>
        <item x="1"/>
        <item x="5"/>
        <item x="2"/>
        <item x="6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3"/>
        <item x="5"/>
        <item x="4"/>
        <item x="1"/>
        <item x="6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4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2">
        <item x="1"/>
        <item x="0"/>
        <item x="6"/>
        <item x="2"/>
        <item x="4"/>
        <item x="7"/>
        <item x="5"/>
        <item x="3"/>
        <item x="11"/>
        <item x="8"/>
        <item x="10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9">
        <item x="4"/>
        <item x="0"/>
        <item x="1"/>
        <item x="18"/>
        <item x="17"/>
        <item x="2"/>
        <item x="5"/>
        <item x="6"/>
        <item x="9"/>
        <item x="3"/>
        <item x="7"/>
        <item x="11"/>
        <item x="12"/>
        <item x="13"/>
        <item x="8"/>
        <item x="15"/>
        <item x="10"/>
        <item x="14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Количество по полю Модель iPhone" fld="1" subtotal="count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2"/>
  <sheetViews>
    <sheetView topLeftCell="A2" zoomScale="78" workbookViewId="0">
      <selection activeCell="B10" sqref="B10"/>
    </sheetView>
  </sheetViews>
  <sheetFormatPr defaultRowHeight="14.4" x14ac:dyDescent="0.3"/>
  <cols>
    <col min="1" max="1" width="17.6640625" bestFit="1" customWidth="1"/>
    <col min="2" max="2" width="35.33203125" customWidth="1"/>
    <col min="3" max="3" width="35.33203125" bestFit="1" customWidth="1"/>
  </cols>
  <sheetData>
    <row r="3" spans="1:2" x14ac:dyDescent="0.3">
      <c r="A3" s="11" t="s">
        <v>0</v>
      </c>
      <c r="B3" t="s">
        <v>32</v>
      </c>
    </row>
    <row r="4" spans="1:2" x14ac:dyDescent="0.3">
      <c r="A4" t="s">
        <v>24</v>
      </c>
      <c r="B4" s="12">
        <v>8</v>
      </c>
    </row>
    <row r="5" spans="1:2" x14ac:dyDescent="0.3">
      <c r="A5" t="s">
        <v>28</v>
      </c>
      <c r="B5" s="12">
        <v>1</v>
      </c>
    </row>
    <row r="6" spans="1:2" x14ac:dyDescent="0.3">
      <c r="A6" t="s">
        <v>20</v>
      </c>
      <c r="B6" s="12">
        <v>1</v>
      </c>
    </row>
    <row r="7" spans="1:2" x14ac:dyDescent="0.3">
      <c r="A7" t="s">
        <v>12</v>
      </c>
      <c r="B7" s="12">
        <v>1</v>
      </c>
    </row>
    <row r="8" spans="1:2" x14ac:dyDescent="0.3">
      <c r="A8" t="s">
        <v>16</v>
      </c>
      <c r="B8" s="12">
        <v>2</v>
      </c>
    </row>
    <row r="9" spans="1:2" x14ac:dyDescent="0.3">
      <c r="A9" t="s">
        <v>21</v>
      </c>
      <c r="B9" s="12">
        <v>2</v>
      </c>
    </row>
    <row r="10" spans="1:2" x14ac:dyDescent="0.3">
      <c r="A10" t="s">
        <v>18</v>
      </c>
      <c r="B10" s="12">
        <v>3</v>
      </c>
    </row>
    <row r="11" spans="1:2" x14ac:dyDescent="0.3">
      <c r="A11" t="s">
        <v>23</v>
      </c>
      <c r="B11" s="12">
        <v>3</v>
      </c>
    </row>
    <row r="12" spans="1:2" x14ac:dyDescent="0.3">
      <c r="A12" t="s">
        <v>19</v>
      </c>
      <c r="B12" s="12">
        <v>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5"/>
  <sheetViews>
    <sheetView tabSelected="1" zoomScale="97" zoomScaleNormal="100" workbookViewId="0">
      <selection activeCell="B5" sqref="B5"/>
    </sheetView>
  </sheetViews>
  <sheetFormatPr defaultRowHeight="14.4" x14ac:dyDescent="0.3"/>
  <cols>
    <col min="1" max="1" width="3.109375" style="1" bestFit="1" customWidth="1"/>
    <col min="2" max="2" width="17.6640625" bestFit="1" customWidth="1"/>
    <col min="3" max="3" width="7.5546875" bestFit="1" customWidth="1"/>
    <col min="4" max="4" width="8.88671875" bestFit="1" customWidth="1"/>
    <col min="5" max="5" width="14.33203125" bestFit="1" customWidth="1"/>
    <col min="6" max="6" width="10" bestFit="1" customWidth="1"/>
    <col min="7" max="7" width="13.88671875" style="3" bestFit="1" customWidth="1"/>
    <col min="8" max="8" width="18.6640625" style="4" bestFit="1" customWidth="1"/>
    <col min="9" max="9" width="20.33203125" style="3" bestFit="1" customWidth="1"/>
    <col min="10" max="10" width="17.88671875" style="3" bestFit="1" customWidth="1"/>
    <col min="11" max="11" width="14.44140625" style="3" bestFit="1" customWidth="1"/>
    <col min="12" max="12" width="25.6640625" style="4" bestFit="1" customWidth="1"/>
    <col min="13" max="13" width="18.6640625" style="4" bestFit="1" customWidth="1"/>
    <col min="14" max="14" width="21.6640625" style="10" bestFit="1" customWidth="1"/>
    <col min="15" max="15" width="21.6640625" style="8" bestFit="1" customWidth="1"/>
    <col min="16" max="16" width="17.88671875" style="3" bestFit="1" customWidth="1"/>
    <col min="19" max="19" width="33.33203125" bestFit="1" customWidth="1"/>
    <col min="20" max="20" width="15.6640625" style="14" bestFit="1" customWidth="1"/>
    <col min="24" max="24" width="9.6640625" bestFit="1" customWidth="1"/>
    <col min="27" max="27" width="9.88671875" bestFit="1" customWidth="1"/>
    <col min="28" max="29" width="10" bestFit="1" customWidth="1"/>
    <col min="30" max="30" width="9.6640625" bestFit="1" customWidth="1"/>
    <col min="31" max="31" width="13.6640625" bestFit="1" customWidth="1"/>
    <col min="32" max="32" width="14.33203125" bestFit="1" customWidth="1"/>
    <col min="33" max="34" width="13.33203125" bestFit="1" customWidth="1"/>
    <col min="35" max="36" width="17.5546875" bestFit="1" customWidth="1"/>
  </cols>
  <sheetData>
    <row r="1" spans="1:36" x14ac:dyDescent="0.3">
      <c r="A1" s="1" t="s">
        <v>11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10</v>
      </c>
      <c r="G1" s="7" t="s">
        <v>5</v>
      </c>
      <c r="H1" s="5" t="s">
        <v>4</v>
      </c>
      <c r="I1" s="7" t="s">
        <v>6</v>
      </c>
      <c r="J1" s="7" t="s">
        <v>7</v>
      </c>
      <c r="K1" s="7" t="s">
        <v>8</v>
      </c>
      <c r="L1" s="5" t="s">
        <v>25</v>
      </c>
      <c r="M1" s="5" t="s">
        <v>9</v>
      </c>
      <c r="N1" s="9" t="s">
        <v>27</v>
      </c>
      <c r="O1" s="7" t="s">
        <v>15</v>
      </c>
      <c r="P1" s="7" t="s">
        <v>31</v>
      </c>
      <c r="S1" t="s">
        <v>40</v>
      </c>
      <c r="W1" s="13" t="s">
        <v>20</v>
      </c>
      <c r="X1" s="13" t="s">
        <v>38</v>
      </c>
      <c r="Y1" s="13" t="s">
        <v>12</v>
      </c>
      <c r="Z1" s="13" t="s">
        <v>16</v>
      </c>
      <c r="AA1" s="13" t="s">
        <v>18</v>
      </c>
      <c r="AB1" s="13" t="s">
        <v>19</v>
      </c>
      <c r="AC1" s="13" t="s">
        <v>23</v>
      </c>
      <c r="AD1" s="13" t="s">
        <v>24</v>
      </c>
      <c r="AE1" s="13" t="s">
        <v>36</v>
      </c>
      <c r="AF1" s="13" t="s">
        <v>21</v>
      </c>
      <c r="AG1" s="13" t="s">
        <v>28</v>
      </c>
      <c r="AH1" s="13" t="s">
        <v>35</v>
      </c>
      <c r="AI1" s="13" t="s">
        <v>37</v>
      </c>
      <c r="AJ1" s="13" t="s">
        <v>33</v>
      </c>
    </row>
    <row r="2" spans="1:36" x14ac:dyDescent="0.3">
      <c r="A2" s="1">
        <v>1</v>
      </c>
      <c r="B2" s="15" t="s">
        <v>41</v>
      </c>
      <c r="C2" t="s">
        <v>34</v>
      </c>
      <c r="D2" t="s">
        <v>45</v>
      </c>
      <c r="E2" s="2">
        <v>1</v>
      </c>
      <c r="F2" t="s">
        <v>39</v>
      </c>
      <c r="G2" s="3">
        <v>0</v>
      </c>
      <c r="J2" s="3">
        <v>0</v>
      </c>
      <c r="S2" t="s">
        <v>26</v>
      </c>
      <c r="T2" s="8"/>
      <c r="W2" s="13">
        <f>COUNTIF(B:B,$W$1)</f>
        <v>0</v>
      </c>
      <c r="X2" s="13">
        <f>COUNTIF(B:B,$X$1)</f>
        <v>0</v>
      </c>
      <c r="Y2" s="13">
        <f>COUNTIF(B:B,$Y$1)</f>
        <v>0</v>
      </c>
      <c r="Z2" s="13">
        <f>COUNTIF(B:B,$Z$1)</f>
        <v>0</v>
      </c>
      <c r="AA2" s="13">
        <f>COUNTIF(B:B,$AA$1)</f>
        <v>0</v>
      </c>
      <c r="AB2" s="13">
        <f>COUNTIF(B:B,$AB$1)</f>
        <v>0</v>
      </c>
      <c r="AC2" s="13">
        <f>COUNTIF(B:B,$AC$1)</f>
        <v>1</v>
      </c>
      <c r="AD2" s="13">
        <f>COUNTIF(B:B,$AD$1)</f>
        <v>0</v>
      </c>
      <c r="AE2" s="13">
        <f>COUNTIF(B:B,$AE$1)</f>
        <v>0</v>
      </c>
      <c r="AF2" s="13">
        <f>COUNTIF(B:B,$AF$1)</f>
        <v>0</v>
      </c>
      <c r="AG2" s="13">
        <f>COUNTIF(B:B,$AG$1)</f>
        <v>0</v>
      </c>
      <c r="AH2" s="13">
        <f>COUNTIF(B:B,$AH$1)</f>
        <v>0</v>
      </c>
      <c r="AI2" s="13">
        <f>COUNTIF(B:B,$AI$1)</f>
        <v>0</v>
      </c>
      <c r="AJ2" s="13">
        <f>COUNTIF(B:B,$AJ$1)</f>
        <v>0</v>
      </c>
    </row>
    <row r="3" spans="1:36" x14ac:dyDescent="0.3">
      <c r="A3" s="1">
        <v>2</v>
      </c>
      <c r="B3" s="1" t="s">
        <v>42</v>
      </c>
      <c r="C3" t="s">
        <v>43</v>
      </c>
      <c r="D3" t="s">
        <v>13</v>
      </c>
      <c r="E3" s="2">
        <v>0.78</v>
      </c>
      <c r="F3" t="s">
        <v>14</v>
      </c>
      <c r="J3" s="3">
        <v>0</v>
      </c>
      <c r="S3" t="s">
        <v>29</v>
      </c>
      <c r="T3" s="8"/>
    </row>
    <row r="4" spans="1:36" x14ac:dyDescent="0.3">
      <c r="A4" s="1">
        <v>3</v>
      </c>
      <c r="B4" t="s">
        <v>44</v>
      </c>
      <c r="C4" t="s">
        <v>43</v>
      </c>
      <c r="D4" t="s">
        <v>22</v>
      </c>
      <c r="E4" s="2">
        <v>0.94</v>
      </c>
      <c r="F4" t="s">
        <v>14</v>
      </c>
      <c r="J4" s="3">
        <v>0</v>
      </c>
      <c r="S4" t="s">
        <v>30</v>
      </c>
      <c r="T4" s="8"/>
    </row>
    <row r="5" spans="1:36" x14ac:dyDescent="0.3">
      <c r="A5" s="1">
        <f ca="1">A5:K437</f>
        <v>0</v>
      </c>
      <c r="B5" t="s">
        <v>23</v>
      </c>
      <c r="C5" t="s">
        <v>17</v>
      </c>
      <c r="D5" t="s">
        <v>13</v>
      </c>
      <c r="E5" s="2">
        <v>0.84</v>
      </c>
      <c r="F5" t="s">
        <v>14</v>
      </c>
      <c r="J5" s="3">
        <v>0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2026-04-05T08:39:52Z</dcterms:modified>
</cp:coreProperties>
</file>